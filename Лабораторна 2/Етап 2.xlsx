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i\ІАВД\Лабораторна 2\"/>
    </mc:Choice>
  </mc:AlternateContent>
  <xr:revisionPtr revIDLastSave="0" documentId="13_ncr:1_{AEA3398C-6FF1-4BAD-A818-6C76A95E9AB8}" xr6:coauthVersionLast="47" xr6:coauthVersionMax="47" xr10:uidLastSave="{00000000-0000-0000-0000-000000000000}"/>
  <bookViews>
    <workbookView xWindow="-108" yWindow="-108" windowWidth="23256" windowHeight="12576" xr2:uid="{2C4197F5-2510-4212-AD92-0272714A4D46}"/>
  </bookViews>
  <sheets>
    <sheet name="Звіт про стійкість 1" sheetId="3" r:id="rId1"/>
    <sheet name="Аркуш1" sheetId="1" r:id="rId2"/>
  </sheets>
  <definedNames>
    <definedName name="solver_adj" localSheetId="1" hidden="1">Аркуш1!$C$6:$F$6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Аркуш1!$C$6:$F$6</definedName>
    <definedName name="solver_lhs2" localSheetId="1" hidden="1">Аркуш1!$G$9:$G$13</definedName>
    <definedName name="solver_lhs3" localSheetId="1" hidden="1">Аркуш1!$G$9:$G$13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Аркуш1!$G$6</definedName>
    <definedName name="solver_pre" localSheetId="1" hidden="1">0.000001</definedName>
    <definedName name="solver_rbv" localSheetId="1" hidden="1">2</definedName>
    <definedName name="solver_rel1" localSheetId="1" hidden="1">3</definedName>
    <definedName name="solver_rel2" localSheetId="1" hidden="1">1</definedName>
    <definedName name="solver_rel3" localSheetId="1" hidden="1">1</definedName>
    <definedName name="solver_rhs1" localSheetId="1" hidden="1">0</definedName>
    <definedName name="solver_rhs2" localSheetId="1" hidden="1">Аркуш1!$I$9:$I$13</definedName>
    <definedName name="solver_rhs3" localSheetId="1" hidden="1">Аркуш1!$I$9:$I$13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3" l="1"/>
  <c r="I18" i="3"/>
  <c r="I19" i="3"/>
  <c r="I20" i="3"/>
  <c r="I21" i="3"/>
  <c r="G9" i="1" l="1"/>
  <c r="G10" i="1"/>
  <c r="G11" i="1"/>
  <c r="G12" i="1"/>
  <c r="G13" i="1"/>
  <c r="G6" i="1"/>
</calcChain>
</file>

<file path=xl/sharedStrings.xml><?xml version="1.0" encoding="utf-8"?>
<sst xmlns="http://schemas.openxmlformats.org/spreadsheetml/2006/main" count="70" uniqueCount="52">
  <si>
    <t>Прибуток з одиниці</t>
  </si>
  <si>
    <t>String</t>
  </si>
  <si>
    <t>Ray</t>
  </si>
  <si>
    <t>Breaker</t>
  </si>
  <si>
    <t>Marlin</t>
  </si>
  <si>
    <t>Запас</t>
  </si>
  <si>
    <t>Столярний цех, год</t>
  </si>
  <si>
    <t>Фарбувальний цех, год</t>
  </si>
  <si>
    <t>Такелаж, компл.</t>
  </si>
  <si>
    <t>Ділянка добудови, год</t>
  </si>
  <si>
    <t>Дохід</t>
  </si>
  <si>
    <t>Використано</t>
  </si>
  <si>
    <t>&lt;=</t>
  </si>
  <si>
    <t>Microsoft Excel 16.0 Звіт про стійкість</t>
  </si>
  <si>
    <t>Аркуш: [Етап 2.xlsx]Аркуш1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</si>
  <si>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</si>
  <si>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</si>
  <si>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</si>
  <si>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</si>
  <si>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</si>
  <si>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</si>
  <si>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</si>
  <si>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</si>
  <si>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</si>
  <si>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</si>
  <si>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</si>
  <si>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</si>
  <si>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Обмеження</t>
  </si>
  <si>
    <t>Тінь</t>
  </si>
  <si>
    <t>Ціна</t>
  </si>
  <si>
    <t>Права сторона</t>
  </si>
  <si>
    <t>$B$6</t>
  </si>
  <si>
    <t>Дохід String</t>
  </si>
  <si>
    <t>$C$6</t>
  </si>
  <si>
    <t>Дохід Ray</t>
  </si>
  <si>
    <t>$D$6</t>
  </si>
  <si>
    <t>Дохід Breaker</t>
  </si>
  <si>
    <t>$E$6</t>
  </si>
  <si>
    <t>Дохід Marlin</t>
  </si>
  <si>
    <t>$F$9</t>
  </si>
  <si>
    <t>Склопластик, м² Використано</t>
  </si>
  <si>
    <t>$F$10</t>
  </si>
  <si>
    <t>Столярний цех, год Використано</t>
  </si>
  <si>
    <t>$F$11</t>
  </si>
  <si>
    <t>Фарбувальний цех, год Використано</t>
  </si>
  <si>
    <t>$F$12</t>
  </si>
  <si>
    <t>Такелаж, компл. Використано</t>
  </si>
  <si>
    <t>$F$13</t>
  </si>
  <si>
    <t>Ділянка добудови, год Використано</t>
  </si>
  <si>
    <t>Звіт створено: 9/30/2026 11:03:50 AM</t>
  </si>
  <si>
    <r>
      <t>Склопластик, м</t>
    </r>
    <r>
      <rPr>
        <b/>
        <sz val="11"/>
        <color theme="1"/>
        <rFont val="Calibri"/>
        <family val="2"/>
        <charset val="204"/>
      </rPr>
      <t>²</t>
    </r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</si>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</sst>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7917-B416-443B-A2C6-98E60EC9CE7D}">
  <dimension ref="A1:I21"/>
  <sheetViews>
    <sheetView showGridLines="0" tabSelected="1" workbookViewId="0">
      <selection activeCell="I17" sqref="I17:I21"/>
    </sheetView>
  </sheetViews>
  <sheetFormatPr defaultRowHeight="14.4" x14ac:dyDescent="0.3"/>
  <cols>
    <col min="1" max="1" width="2.33203125" customWidth="1"/>
    <col min="2" max="2" width="8.5546875" bestFit="1" customWidth="1"/>
    <col min="3" max="3" width="33.109375" bestFit="1" customWidth="1"/>
    <col min="4" max="4" width="12" bestFit="1" customWidth="1"/>
    <col min="5" max="5" width="12.6640625" bestFit="1" customWidth="1"/>
    <col min="6" max="6" width="15.44140625" bestFit="1" customWidth="1"/>
    <col min="7" max="8" width="12" bestFit="1" customWidth="1"/>
  </cols>
  <sheetData>
    <row r="1" spans="1:8" x14ac:dyDescent="0.3">
      <c r="A1" s="2" t="s">
        <v>13</v>
      </c>
    </row>
    <row r="2" spans="1:8" x14ac:dyDescent="0.3">
      <c r="A2" s="2" t="s">
        <v>14</v>
      </c>
    </row>
    <row r="3" spans="1:8" x14ac:dyDescent="0.3">
      <c r="A3" s="2" t="s">
        <v>49</v>
      </c>
    </row>
    <row r="6" spans="1:8" ht="15" thickBot="1" x14ac:dyDescent="0.35">
      <c r="A6" t="s">
        <v>15</v>
      </c>
    </row>
    <row r="7" spans="1:8" x14ac:dyDescent="0.3">
      <c r="B7" s="5"/>
      <c r="C7" s="5"/>
      <c r="D7" s="5" t="s">
        <v>18</v>
      </c>
      <c r="E7" s="5" t="s">
        <v>20</v>
      </c>
      <c r="F7" s="5" t="s">
        <v>22</v>
      </c>
      <c r="G7" s="5" t="s">
        <v>24</v>
      </c>
      <c r="H7" s="5" t="s">
        <v>24</v>
      </c>
    </row>
    <row r="8" spans="1:8" ht="15" thickBot="1" x14ac:dyDescent="0.35">
      <c r="B8" s="6" t="s">
        <v>16</v>
      </c>
      <c r="C8" s="6" t="s">
        <v>17</v>
      </c>
      <c r="D8" s="6" t="s">
        <v>19</v>
      </c>
      <c r="E8" s="6" t="s">
        <v>21</v>
      </c>
      <c r="F8" s="6" t="s">
        <v>23</v>
      </c>
      <c r="G8" s="6" t="s">
        <v>25</v>
      </c>
      <c r="H8" s="6" t="s">
        <v>26</v>
      </c>
    </row>
    <row r="9" spans="1:8" x14ac:dyDescent="0.3">
      <c r="B9" s="3" t="s">
        <v>31</v>
      </c>
      <c r="C9" s="3" t="s">
        <v>32</v>
      </c>
      <c r="D9" s="3">
        <v>0</v>
      </c>
      <c r="E9" s="3">
        <v>-48.181818181818194</v>
      </c>
      <c r="F9" s="3">
        <v>40</v>
      </c>
      <c r="G9" s="3">
        <v>48.181818181818194</v>
      </c>
      <c r="H9" s="3">
        <v>1E+30</v>
      </c>
    </row>
    <row r="10" spans="1:8" x14ac:dyDescent="0.3">
      <c r="B10" s="3" t="s">
        <v>33</v>
      </c>
      <c r="C10" s="3" t="s">
        <v>34</v>
      </c>
      <c r="D10" s="3">
        <v>25.090909090909079</v>
      </c>
      <c r="E10" s="3">
        <v>0</v>
      </c>
      <c r="F10" s="3">
        <v>66</v>
      </c>
      <c r="G10" s="3">
        <v>18.999999999999993</v>
      </c>
      <c r="H10" s="3">
        <v>21.333333333333339</v>
      </c>
    </row>
    <row r="11" spans="1:8" x14ac:dyDescent="0.3">
      <c r="B11" s="3" t="s">
        <v>35</v>
      </c>
      <c r="C11" s="3" t="s">
        <v>36</v>
      </c>
      <c r="D11" s="3">
        <v>0</v>
      </c>
      <c r="E11" s="3">
        <v>-23.27272727272728</v>
      </c>
      <c r="F11" s="3">
        <v>24</v>
      </c>
      <c r="G11" s="3">
        <v>23.27272727272728</v>
      </c>
      <c r="H11" s="3">
        <v>1E+30</v>
      </c>
    </row>
    <row r="12" spans="1:8" ht="15" thickBot="1" x14ac:dyDescent="0.35">
      <c r="B12" s="4" t="s">
        <v>37</v>
      </c>
      <c r="C12" s="4" t="s">
        <v>38</v>
      </c>
      <c r="D12" s="4">
        <v>288.27272727272731</v>
      </c>
      <c r="E12" s="4">
        <v>0</v>
      </c>
      <c r="F12" s="4">
        <v>34</v>
      </c>
      <c r="G12" s="4">
        <v>32.000000000000007</v>
      </c>
      <c r="H12" s="4">
        <v>7.599999999999997</v>
      </c>
    </row>
    <row r="14" spans="1:8" ht="15" thickBot="1" x14ac:dyDescent="0.35">
      <c r="A14" t="s">
        <v>27</v>
      </c>
    </row>
    <row r="15" spans="1:8" x14ac:dyDescent="0.3">
      <c r="B15" s="5"/>
      <c r="C15" s="5"/>
      <c r="D15" s="5" t="s">
        <v>18</v>
      </c>
      <c r="E15" s="5" t="s">
        <v>28</v>
      </c>
      <c r="F15" s="5" t="s">
        <v>27</v>
      </c>
      <c r="G15" s="5" t="s">
        <v>24</v>
      </c>
      <c r="H15" s="5" t="s">
        <v>24</v>
      </c>
    </row>
    <row r="16" spans="1:8" ht="15" thickBot="1" x14ac:dyDescent="0.35">
      <c r="B16" s="6" t="s">
        <v>16</v>
      </c>
      <c r="C16" s="6" t="s">
        <v>17</v>
      </c>
      <c r="D16" s="6" t="s">
        <v>19</v>
      </c>
      <c r="E16" s="6" t="s">
        <v>29</v>
      </c>
      <c r="F16" s="6" t="s">
        <v>30</v>
      </c>
      <c r="G16" s="6" t="s">
        <v>25</v>
      </c>
      <c r="H16" s="6" t="s">
        <v>26</v>
      </c>
    </row>
    <row r="17" spans="2:9" x14ac:dyDescent="0.3">
      <c r="B17" s="3" t="s">
        <v>39</v>
      </c>
      <c r="C17" s="3" t="s">
        <v>40</v>
      </c>
      <c r="D17" s="3">
        <v>626.72727272727275</v>
      </c>
      <c r="E17" s="3">
        <v>0</v>
      </c>
      <c r="F17" s="3">
        <v>1271</v>
      </c>
      <c r="G17" s="3">
        <v>1E+30</v>
      </c>
      <c r="H17" s="3">
        <v>644.27272727272725</v>
      </c>
      <c r="I17">
        <f>F17-D17</f>
        <v>644.27272727272725</v>
      </c>
    </row>
    <row r="18" spans="2:9" x14ac:dyDescent="0.3">
      <c r="B18" s="3" t="s">
        <v>41</v>
      </c>
      <c r="C18" s="3" t="s">
        <v>42</v>
      </c>
      <c r="D18" s="3">
        <v>702</v>
      </c>
      <c r="E18" s="3">
        <v>11.81818181818182</v>
      </c>
      <c r="F18" s="3">
        <v>702</v>
      </c>
      <c r="G18" s="3">
        <v>102</v>
      </c>
      <c r="H18" s="3">
        <v>91.999999999999943</v>
      </c>
      <c r="I18">
        <f t="shared" ref="I18:I21" si="0">F18-D18</f>
        <v>0</v>
      </c>
    </row>
    <row r="19" spans="2:9" x14ac:dyDescent="0.3">
      <c r="B19" s="3" t="s">
        <v>43</v>
      </c>
      <c r="C19" s="3" t="s">
        <v>44</v>
      </c>
      <c r="D19" s="3">
        <v>915.00000000000011</v>
      </c>
      <c r="E19" s="3">
        <v>3.4545454545454533</v>
      </c>
      <c r="F19" s="3">
        <v>915</v>
      </c>
      <c r="G19" s="3">
        <v>137.99999999999994</v>
      </c>
      <c r="H19" s="3">
        <v>634.20000000000005</v>
      </c>
      <c r="I19">
        <f t="shared" si="0"/>
        <v>0</v>
      </c>
    </row>
    <row r="20" spans="2:9" x14ac:dyDescent="0.3">
      <c r="B20" s="3" t="s">
        <v>45</v>
      </c>
      <c r="C20" s="3" t="s">
        <v>46</v>
      </c>
      <c r="D20" s="3">
        <v>25.090909090909079</v>
      </c>
      <c r="E20" s="3">
        <v>0</v>
      </c>
      <c r="F20" s="3">
        <v>1388</v>
      </c>
      <c r="G20" s="3">
        <v>1E+30</v>
      </c>
      <c r="H20" s="3">
        <v>1362.9090909090908</v>
      </c>
      <c r="I20">
        <f t="shared" si="0"/>
        <v>1362.909090909091</v>
      </c>
    </row>
    <row r="21" spans="2:9" ht="15" thickBot="1" x14ac:dyDescent="0.35">
      <c r="B21" s="4" t="s">
        <v>47</v>
      </c>
      <c r="C21" s="4" t="s">
        <v>48</v>
      </c>
      <c r="D21" s="4">
        <v>702</v>
      </c>
      <c r="E21" s="4">
        <v>0</v>
      </c>
      <c r="F21" s="4">
        <v>804</v>
      </c>
      <c r="G21" s="4">
        <v>1E+30</v>
      </c>
      <c r="H21" s="4">
        <v>102</v>
      </c>
      <c r="I21">
        <f t="shared" si="0"/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ECBC-D2B8-43BC-860B-60FD44B375E7}">
  <dimension ref="B3:I13"/>
  <sheetViews>
    <sheetView workbookViewId="0">
      <selection activeCell="E20" sqref="E20"/>
    </sheetView>
  </sheetViews>
  <sheetFormatPr defaultRowHeight="14.4" x14ac:dyDescent="0.3"/>
  <cols>
    <col min="1" max="1" width="8.88671875" style="1"/>
    <col min="2" max="2" width="21.6640625" style="1" customWidth="1"/>
    <col min="3" max="6" width="8.88671875" style="1"/>
    <col min="7" max="7" width="12.44140625" style="1" customWidth="1"/>
    <col min="8" max="16384" width="8.88671875" style="1"/>
  </cols>
  <sheetData>
    <row r="3" spans="2:9" ht="15" thickBot="1" x14ac:dyDescent="0.35"/>
    <row r="4" spans="2:9" ht="15" thickBot="1" x14ac:dyDescent="0.35">
      <c r="B4" s="13"/>
      <c r="C4" s="14" t="s">
        <v>1</v>
      </c>
      <c r="D4" s="14" t="s">
        <v>2</v>
      </c>
      <c r="E4" s="14" t="s">
        <v>3</v>
      </c>
      <c r="F4" s="14" t="s">
        <v>4</v>
      </c>
      <c r="G4" s="13" t="s">
        <v>51</v>
      </c>
    </row>
    <row r="5" spans="2:9" x14ac:dyDescent="0.3">
      <c r="B5" s="15" t="s">
        <v>0</v>
      </c>
      <c r="C5" s="7">
        <v>40</v>
      </c>
      <c r="D5" s="7">
        <v>66</v>
      </c>
      <c r="E5" s="7">
        <v>24</v>
      </c>
      <c r="F5" s="7">
        <v>34</v>
      </c>
      <c r="G5" s="11"/>
    </row>
    <row r="6" spans="2:9" ht="15" thickBot="1" x14ac:dyDescent="0.35">
      <c r="B6" s="16" t="s">
        <v>10</v>
      </c>
      <c r="C6" s="9">
        <v>0</v>
      </c>
      <c r="D6" s="9">
        <v>25.090909090909079</v>
      </c>
      <c r="E6" s="9">
        <v>0</v>
      </c>
      <c r="F6" s="9">
        <v>288.27272727272731</v>
      </c>
      <c r="G6" s="12">
        <f>SUMPRODUCT(C5:F5, C6:F6)</f>
        <v>11457.272727272728</v>
      </c>
    </row>
    <row r="7" spans="2:9" ht="15" thickBot="1" x14ac:dyDescent="0.35"/>
    <row r="8" spans="2:9" ht="14.4" customHeight="1" thickBot="1" x14ac:dyDescent="0.35">
      <c r="B8" s="13"/>
      <c r="C8" s="14" t="s">
        <v>1</v>
      </c>
      <c r="D8" s="14" t="s">
        <v>2</v>
      </c>
      <c r="E8" s="14" t="s">
        <v>3</v>
      </c>
      <c r="F8" s="14" t="s">
        <v>4</v>
      </c>
      <c r="G8" s="14" t="s">
        <v>11</v>
      </c>
      <c r="H8" s="14"/>
      <c r="I8" s="17" t="s">
        <v>5</v>
      </c>
    </row>
    <row r="9" spans="2:9" x14ac:dyDescent="0.3">
      <c r="B9" s="15" t="s">
        <v>50</v>
      </c>
      <c r="C9" s="7">
        <v>4</v>
      </c>
      <c r="D9" s="7">
        <v>2</v>
      </c>
      <c r="E9" s="7">
        <v>5</v>
      </c>
      <c r="F9" s="7">
        <v>2</v>
      </c>
      <c r="G9" s="7">
        <f>SUMPRODUCT(C$6:F$6, C9:F9)</f>
        <v>626.72727272727275</v>
      </c>
      <c r="H9" s="7" t="s">
        <v>12</v>
      </c>
      <c r="I9" s="8">
        <v>1271</v>
      </c>
    </row>
    <row r="10" spans="2:9" x14ac:dyDescent="0.3">
      <c r="B10" s="15" t="s">
        <v>6</v>
      </c>
      <c r="C10" s="7">
        <v>6</v>
      </c>
      <c r="D10" s="7">
        <v>5</v>
      </c>
      <c r="E10" s="7">
        <v>4</v>
      </c>
      <c r="F10" s="7">
        <v>2</v>
      </c>
      <c r="G10" s="7">
        <f t="shared" ref="G10:G13" si="0">SUMPRODUCT(C$6:F$6, C10:F10)</f>
        <v>702</v>
      </c>
      <c r="H10" s="7" t="s">
        <v>12</v>
      </c>
      <c r="I10" s="8">
        <v>702</v>
      </c>
    </row>
    <row r="11" spans="2:9" x14ac:dyDescent="0.3">
      <c r="B11" s="15" t="s">
        <v>7</v>
      </c>
      <c r="C11" s="7">
        <v>5</v>
      </c>
      <c r="D11" s="7">
        <v>2</v>
      </c>
      <c r="E11" s="7">
        <v>0</v>
      </c>
      <c r="F11" s="7">
        <v>3</v>
      </c>
      <c r="G11" s="7">
        <f t="shared" si="0"/>
        <v>915.00000000000011</v>
      </c>
      <c r="H11" s="7" t="s">
        <v>12</v>
      </c>
      <c r="I11" s="8">
        <v>915</v>
      </c>
    </row>
    <row r="12" spans="2:9" x14ac:dyDescent="0.3">
      <c r="B12" s="15" t="s">
        <v>8</v>
      </c>
      <c r="C12" s="7">
        <v>2</v>
      </c>
      <c r="D12" s="7">
        <v>1</v>
      </c>
      <c r="E12" s="7">
        <v>5</v>
      </c>
      <c r="F12" s="7">
        <v>0</v>
      </c>
      <c r="G12" s="7">
        <f t="shared" si="0"/>
        <v>25.090909090909079</v>
      </c>
      <c r="H12" s="7" t="s">
        <v>12</v>
      </c>
      <c r="I12" s="8">
        <v>1388</v>
      </c>
    </row>
    <row r="13" spans="2:9" ht="15" thickBot="1" x14ac:dyDescent="0.35">
      <c r="B13" s="16" t="s">
        <v>9</v>
      </c>
      <c r="C13" s="9">
        <v>5</v>
      </c>
      <c r="D13" s="9">
        <v>5</v>
      </c>
      <c r="E13" s="9">
        <v>6</v>
      </c>
      <c r="F13" s="9">
        <v>2</v>
      </c>
      <c r="G13" s="9">
        <f t="shared" si="0"/>
        <v>702</v>
      </c>
      <c r="H13" s="9" t="s">
        <v>12</v>
      </c>
      <c r="I13" s="10">
        <v>804</v>
      </c>
    </row>
  </sheetData>
  <scenarios current="0">
    <scenario name="Відповідь" count="4" user="Sofiya" comment="Автор: Sofiya , 9/30/2026">
      <inputCells r="C6" val="0"/>
      <inputCells r="D6" val="26"/>
      <inputCells r="E6" val="0"/>
      <inputCells r="F6" val="286"/>
    </scenario>
  </scenario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про стійкість 1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The Bard</dc:creator>
  <cp:lastModifiedBy>Iwona The Bard</cp:lastModifiedBy>
  <dcterms:created xsi:type="dcterms:W3CDTF">2026-09-30T06:41:11Z</dcterms:created>
  <dcterms:modified xsi:type="dcterms:W3CDTF">2026-10-01T20:10:31Z</dcterms:modified>
</cp:coreProperties>
</file>